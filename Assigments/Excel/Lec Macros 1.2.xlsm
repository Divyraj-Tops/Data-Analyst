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8E3C8552-67B1-46B0-A34C-22A31CBAE466}" xr6:coauthVersionLast="47" xr6:coauthVersionMax="47" xr10:uidLastSave="{00000000-0000-0000-0000-000000000000}"/>
  <bookViews>
    <workbookView xWindow="-120" yWindow="-120" windowWidth="21840" windowHeight="13140" activeTab="1" xr2:uid="{DC54F5E8-5FD9-41F8-8C03-A62930DC9A4C}"/>
  </bookViews>
  <sheets>
    <sheet name="Sheet2" sheetId="5" r:id="rId1"/>
    <sheet name="work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6" l="1"/>
  <c r="H19" i="6" s="1"/>
  <c r="H18" i="6"/>
  <c r="G18" i="6"/>
  <c r="G17" i="6"/>
  <c r="H17" i="6" s="1"/>
  <c r="G16" i="6"/>
  <c r="H16" i="6" s="1"/>
  <c r="G15" i="6"/>
  <c r="H15" i="6" s="1"/>
  <c r="H14" i="6"/>
  <c r="G14" i="6"/>
  <c r="H13" i="6"/>
  <c r="G13" i="6"/>
  <c r="H12" i="6"/>
  <c r="G12" i="6"/>
  <c r="H11" i="6"/>
  <c r="G11" i="6"/>
  <c r="G10" i="6"/>
  <c r="H10" i="6" s="1"/>
  <c r="G9" i="6"/>
  <c r="H9" i="6" s="1"/>
  <c r="G8" i="6"/>
  <c r="H8" i="6" s="1"/>
  <c r="G7" i="6"/>
  <c r="H7" i="6" s="1"/>
  <c r="H6" i="6"/>
  <c r="G6" i="6"/>
  <c r="H5" i="6"/>
  <c r="G5" i="6"/>
  <c r="G4" i="6"/>
  <c r="H4" i="6" s="1"/>
  <c r="G3" i="6"/>
  <c r="H3" i="6" s="1"/>
  <c r="G2" i="6"/>
  <c r="H2" i="6" s="1"/>
</calcChain>
</file>

<file path=xl/sharedStrings.xml><?xml version="1.0" encoding="utf-8"?>
<sst xmlns="http://schemas.openxmlformats.org/spreadsheetml/2006/main" count="86" uniqueCount="42">
  <si>
    <t>OrderID</t>
  </si>
  <si>
    <t>Name</t>
  </si>
  <si>
    <t>Product</t>
  </si>
  <si>
    <t>Quantity</t>
  </si>
  <si>
    <t>Price</t>
  </si>
  <si>
    <t>Bill Smith</t>
  </si>
  <si>
    <t xml:space="preserve"> Volkswagen Golf</t>
  </si>
  <si>
    <t>Kennedi Singh</t>
  </si>
  <si>
    <t xml:space="preserve"> Toyota Yaris</t>
  </si>
  <si>
    <t>Harley Fritz</t>
  </si>
  <si>
    <t xml:space="preserve"> Seat Panda</t>
  </si>
  <si>
    <t>Nyla Novak</t>
  </si>
  <si>
    <t xml:space="preserve"> Ford Focus</t>
  </si>
  <si>
    <t>Ivan Hines</t>
  </si>
  <si>
    <t xml:space="preserve"> Vauxhall Corsa</t>
  </si>
  <si>
    <t>Jonah Higgins</t>
  </si>
  <si>
    <t xml:space="preserve"> 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</si>
  <si>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</si>
  <si>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</si>
  <si>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</si>
  <si>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</si>
  <si>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</si>
  <si>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</si>
  <si>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</si>
  <si>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</si>
  <si>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</si>
  <si>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</si>
  <si>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</si>
  <si>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</si>
  <si>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</si>
  <si>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</si>
  <si>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</si>
  <si>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</si>
  <si>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</si>
  <si>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</si>
  <si>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</si>
  <si>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Volkswagen Polo</t>
  </si>
  <si>
    <t>Jaylynn Knapp</t>
  </si>
  <si>
    <t>Bruce Rich</t>
  </si>
  <si>
    <t>Total</t>
  </si>
  <si>
    <t>Dis%</t>
  </si>
  <si>
    <t>Final 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</si>
</sst>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9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NumberForma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08544-F657-47F6-AF9A-B5008DD10D62}">
  <dimension ref="A1:F19"/>
  <sheetViews>
    <sheetView workbookViewId="0">
      <selection sqref="A1:F19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39</v>
      </c>
    </row>
    <row r="2" spans="1:6" x14ac:dyDescent="0.25">
      <c r="A2">
        <v>11280</v>
      </c>
      <c r="B2" t="s">
        <v>5</v>
      </c>
      <c r="C2" t="s">
        <v>6</v>
      </c>
      <c r="D2">
        <v>15</v>
      </c>
      <c r="E2">
        <v>30000</v>
      </c>
      <c r="F2" s="1">
        <v>450000</v>
      </c>
    </row>
    <row r="3" spans="1:6" x14ac:dyDescent="0.25">
      <c r="A3" s="1">
        <v>11281</v>
      </c>
      <c r="B3" t="s">
        <v>7</v>
      </c>
      <c r="C3" t="s">
        <v>8</v>
      </c>
      <c r="D3">
        <v>10</v>
      </c>
      <c r="E3">
        <v>25000</v>
      </c>
      <c r="F3" s="1">
        <v>250000</v>
      </c>
    </row>
    <row r="4" spans="1:6" x14ac:dyDescent="0.25">
      <c r="A4" s="1">
        <v>11282</v>
      </c>
      <c r="B4" t="s">
        <v>9</v>
      </c>
      <c r="C4" t="s">
        <v>10</v>
      </c>
      <c r="D4">
        <v>150</v>
      </c>
      <c r="E4">
        <v>28000</v>
      </c>
      <c r="F4" s="1">
        <v>4200000</v>
      </c>
    </row>
    <row r="5" spans="1:6" x14ac:dyDescent="0.25">
      <c r="A5" s="1">
        <v>11283</v>
      </c>
      <c r="B5" t="s">
        <v>11</v>
      </c>
      <c r="C5" t="s">
        <v>12</v>
      </c>
      <c r="D5">
        <v>12</v>
      </c>
      <c r="E5">
        <v>30000</v>
      </c>
      <c r="F5" s="1">
        <v>360000</v>
      </c>
    </row>
    <row r="6" spans="1:6" x14ac:dyDescent="0.25">
      <c r="A6" s="1">
        <v>11284</v>
      </c>
      <c r="B6" t="s">
        <v>13</v>
      </c>
      <c r="C6" t="s">
        <v>14</v>
      </c>
      <c r="D6">
        <v>20</v>
      </c>
      <c r="E6">
        <v>30000</v>
      </c>
      <c r="F6" s="1">
        <v>600000</v>
      </c>
    </row>
    <row r="7" spans="1:6" x14ac:dyDescent="0.25">
      <c r="A7" s="1">
        <v>11285</v>
      </c>
      <c r="B7" t="s">
        <v>15</v>
      </c>
      <c r="C7" t="s">
        <v>16</v>
      </c>
      <c r="D7">
        <v>20</v>
      </c>
      <c r="E7">
        <v>26000</v>
      </c>
      <c r="F7" s="1">
        <v>520000</v>
      </c>
    </row>
    <row r="8" spans="1:6" x14ac:dyDescent="0.25">
      <c r="A8" s="1">
        <v>11286</v>
      </c>
      <c r="B8" t="s">
        <v>17</v>
      </c>
      <c r="C8" t="s">
        <v>18</v>
      </c>
      <c r="D8">
        <v>2</v>
      </c>
      <c r="E8">
        <v>30000</v>
      </c>
      <c r="F8" s="1">
        <v>60000</v>
      </c>
    </row>
    <row r="9" spans="1:6" x14ac:dyDescent="0.25">
      <c r="A9" s="1">
        <v>11287</v>
      </c>
      <c r="B9" t="s">
        <v>19</v>
      </c>
      <c r="C9" t="s">
        <v>20</v>
      </c>
      <c r="D9">
        <v>5</v>
      </c>
      <c r="E9">
        <v>35000</v>
      </c>
      <c r="F9" s="1">
        <v>175000</v>
      </c>
    </row>
    <row r="10" spans="1:6" x14ac:dyDescent="0.25">
      <c r="A10" s="1">
        <v>11288</v>
      </c>
      <c r="B10" t="s">
        <v>21</v>
      </c>
      <c r="C10" t="s">
        <v>22</v>
      </c>
      <c r="D10">
        <v>80</v>
      </c>
      <c r="E10">
        <v>30000</v>
      </c>
      <c r="F10" s="1">
        <v>2400000</v>
      </c>
    </row>
    <row r="11" spans="1:6" x14ac:dyDescent="0.25">
      <c r="A11" s="1">
        <v>11289</v>
      </c>
      <c r="B11" t="s">
        <v>23</v>
      </c>
      <c r="C11" t="s">
        <v>24</v>
      </c>
      <c r="D11">
        <v>100</v>
      </c>
      <c r="E11">
        <v>26000</v>
      </c>
      <c r="F11" s="1">
        <v>2600000</v>
      </c>
    </row>
    <row r="12" spans="1:6" x14ac:dyDescent="0.25">
      <c r="A12" s="1">
        <v>11290</v>
      </c>
      <c r="B12" t="s">
        <v>25</v>
      </c>
      <c r="C12" t="s">
        <v>26</v>
      </c>
      <c r="D12">
        <v>20</v>
      </c>
      <c r="E12">
        <v>35000</v>
      </c>
      <c r="F12" s="1">
        <v>700000</v>
      </c>
    </row>
    <row r="13" spans="1:6" x14ac:dyDescent="0.25">
      <c r="A13" s="1">
        <v>11291</v>
      </c>
      <c r="B13" t="s">
        <v>27</v>
      </c>
      <c r="C13" t="s">
        <v>28</v>
      </c>
      <c r="D13">
        <v>25</v>
      </c>
      <c r="E13">
        <v>40000</v>
      </c>
      <c r="F13" s="1">
        <v>1000000</v>
      </c>
    </row>
    <row r="14" spans="1:6" x14ac:dyDescent="0.25">
      <c r="A14" s="1">
        <v>11292</v>
      </c>
      <c r="B14" t="s">
        <v>29</v>
      </c>
      <c r="C14" t="s">
        <v>30</v>
      </c>
      <c r="D14">
        <v>10</v>
      </c>
      <c r="E14">
        <v>28000</v>
      </c>
      <c r="F14" s="1">
        <v>280000</v>
      </c>
    </row>
    <row r="15" spans="1:6" x14ac:dyDescent="0.25">
      <c r="A15" s="1">
        <v>11293</v>
      </c>
      <c r="B15" t="s">
        <v>31</v>
      </c>
      <c r="C15" t="s">
        <v>32</v>
      </c>
      <c r="D15">
        <v>10</v>
      </c>
      <c r="E15">
        <v>30000</v>
      </c>
      <c r="F15" s="1">
        <v>300000</v>
      </c>
    </row>
    <row r="16" spans="1:6" x14ac:dyDescent="0.25">
      <c r="A16" s="1">
        <v>11294</v>
      </c>
      <c r="B16" t="s">
        <v>33</v>
      </c>
      <c r="C16" t="s">
        <v>34</v>
      </c>
      <c r="D16">
        <v>5</v>
      </c>
      <c r="E16">
        <v>30000</v>
      </c>
      <c r="F16">
        <v>150000</v>
      </c>
    </row>
    <row r="17" spans="1:6" x14ac:dyDescent="0.25">
      <c r="A17" s="1">
        <v>11295</v>
      </c>
      <c r="B17" t="s">
        <v>35</v>
      </c>
      <c r="C17" t="s">
        <v>36</v>
      </c>
      <c r="D17">
        <v>180</v>
      </c>
      <c r="E17">
        <v>26000</v>
      </c>
      <c r="F17" s="1">
        <v>4680000</v>
      </c>
    </row>
    <row r="18" spans="1:6" x14ac:dyDescent="0.25">
      <c r="A18" s="1">
        <v>11296</v>
      </c>
      <c r="B18" t="s">
        <v>37</v>
      </c>
      <c r="C18" t="s">
        <v>18</v>
      </c>
      <c r="D18">
        <v>5</v>
      </c>
      <c r="E18">
        <v>30000</v>
      </c>
      <c r="F18" s="1">
        <v>150000</v>
      </c>
    </row>
    <row r="19" spans="1:6" x14ac:dyDescent="0.25">
      <c r="A19" s="1">
        <v>11297</v>
      </c>
      <c r="B19" t="s">
        <v>38</v>
      </c>
      <c r="C19" t="s">
        <v>20</v>
      </c>
      <c r="D19">
        <v>250</v>
      </c>
      <c r="E19">
        <v>35000</v>
      </c>
      <c r="F19">
        <v>8750000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072EE-BF67-4953-BC3D-F7B17F79F5D4}">
  <dimension ref="A1:H19"/>
  <sheetViews>
    <sheetView tabSelected="1" workbookViewId="0"/>
  </sheetViews>
  <sheetFormatPr defaultRowHeight="15" x14ac:dyDescent="0.25"/>
  <cols>
    <col min="1" max="1" width="8" bestFit="1" customWidth="1"/>
    <col min="2" max="2" width="15.7109375" bestFit="1" customWidth="1"/>
    <col min="3" max="3" width="16.7109375" bestFit="1" customWidth="1"/>
    <col min="4" max="4" width="8.7109375" bestFit="1" customWidth="1"/>
    <col min="5" max="5" width="8" bestFit="1" customWidth="1"/>
    <col min="6" max="8" width="10.5703125" bestFit="1" customWidth="1"/>
  </cols>
  <sheetData>
    <row r="1" spans="1: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39</v>
      </c>
      <c r="G1" s="2" t="s">
        <v>40</v>
      </c>
      <c r="H1" s="2" t="s">
        <v>41</v>
      </c>
    </row>
    <row r="2" spans="1:8" x14ac:dyDescent="0.25">
      <c r="A2" s="3">
        <v>11280</v>
      </c>
      <c r="B2" s="3" t="s">
        <v>5</v>
      </c>
      <c r="C2" s="3" t="s">
        <v>6</v>
      </c>
      <c r="D2" s="3">
        <v>15</v>
      </c>
      <c r="E2" s="4">
        <v>30000</v>
      </c>
      <c r="F2" s="4">
        <v>450000</v>
      </c>
      <c r="G2" s="4">
        <f>IF(D2&gt;20,F2*0.2,0)</f>
        <v>0</v>
      </c>
      <c r="H2" s="4">
        <f>F2-G2</f>
        <v>450000</v>
      </c>
    </row>
    <row r="3" spans="1:8" x14ac:dyDescent="0.25">
      <c r="A3" s="5">
        <v>11281</v>
      </c>
      <c r="B3" s="3" t="s">
        <v>7</v>
      </c>
      <c r="C3" s="3" t="s">
        <v>8</v>
      </c>
      <c r="D3" s="3">
        <v>10</v>
      </c>
      <c r="E3" s="4">
        <v>25000</v>
      </c>
      <c r="F3" s="4">
        <v>250000</v>
      </c>
      <c r="G3" s="4">
        <f>IF(D3&gt;20,F3*0.2,0)</f>
        <v>0</v>
      </c>
      <c r="H3" s="4">
        <f>F3-G3</f>
        <v>250000</v>
      </c>
    </row>
    <row r="4" spans="1:8" x14ac:dyDescent="0.25">
      <c r="A4" s="5">
        <v>11282</v>
      </c>
      <c r="B4" s="3" t="s">
        <v>9</v>
      </c>
      <c r="C4" s="3" t="s">
        <v>10</v>
      </c>
      <c r="D4" s="3">
        <v>150</v>
      </c>
      <c r="E4" s="4">
        <v>28000</v>
      </c>
      <c r="F4" s="4">
        <v>4200000</v>
      </c>
      <c r="G4" s="4">
        <f>IF(D4&gt;20,F4*0.2,0)</f>
        <v>840000</v>
      </c>
      <c r="H4" s="4">
        <f>F4-G4</f>
        <v>3360000</v>
      </c>
    </row>
    <row r="5" spans="1:8" x14ac:dyDescent="0.25">
      <c r="A5" s="5">
        <v>11283</v>
      </c>
      <c r="B5" s="3" t="s">
        <v>11</v>
      </c>
      <c r="C5" s="3" t="s">
        <v>12</v>
      </c>
      <c r="D5" s="3">
        <v>12</v>
      </c>
      <c r="E5" s="4">
        <v>30000</v>
      </c>
      <c r="F5" s="4">
        <v>360000</v>
      </c>
      <c r="G5" s="4">
        <f>IF(D5&gt;20,F5*0.2,0)</f>
        <v>0</v>
      </c>
      <c r="H5" s="4">
        <f>F5-G5</f>
        <v>360000</v>
      </c>
    </row>
    <row r="6" spans="1:8" x14ac:dyDescent="0.25">
      <c r="A6" s="5">
        <v>11284</v>
      </c>
      <c r="B6" s="3" t="s">
        <v>13</v>
      </c>
      <c r="C6" s="3" t="s">
        <v>14</v>
      </c>
      <c r="D6" s="3">
        <v>20</v>
      </c>
      <c r="E6" s="4">
        <v>30000</v>
      </c>
      <c r="F6" s="4">
        <v>600000</v>
      </c>
      <c r="G6" s="4">
        <f>IF(D6&gt;20,F6*0.2,0)</f>
        <v>0</v>
      </c>
      <c r="H6" s="4">
        <f>F6-G6</f>
        <v>600000</v>
      </c>
    </row>
    <row r="7" spans="1:8" x14ac:dyDescent="0.25">
      <c r="A7" s="5">
        <v>11285</v>
      </c>
      <c r="B7" s="3" t="s">
        <v>15</v>
      </c>
      <c r="C7" s="3" t="s">
        <v>16</v>
      </c>
      <c r="D7" s="3">
        <v>20</v>
      </c>
      <c r="E7" s="4">
        <v>26000</v>
      </c>
      <c r="F7" s="4">
        <v>520000</v>
      </c>
      <c r="G7" s="4">
        <f>IF(D7&gt;20,F7*0.2,0)</f>
        <v>0</v>
      </c>
      <c r="H7" s="4">
        <f>F7-G7</f>
        <v>520000</v>
      </c>
    </row>
    <row r="8" spans="1:8" x14ac:dyDescent="0.25">
      <c r="A8" s="5">
        <v>11286</v>
      </c>
      <c r="B8" s="3" t="s">
        <v>17</v>
      </c>
      <c r="C8" s="3" t="s">
        <v>18</v>
      </c>
      <c r="D8" s="3">
        <v>2</v>
      </c>
      <c r="E8" s="4">
        <v>30000</v>
      </c>
      <c r="F8" s="4">
        <v>60000</v>
      </c>
      <c r="G8" s="4">
        <f>IF(D8&gt;20,F8*0.2,0)</f>
        <v>0</v>
      </c>
      <c r="H8" s="4">
        <f>F8-G8</f>
        <v>60000</v>
      </c>
    </row>
    <row r="9" spans="1:8" x14ac:dyDescent="0.25">
      <c r="A9" s="5">
        <v>11287</v>
      </c>
      <c r="B9" s="3" t="s">
        <v>19</v>
      </c>
      <c r="C9" s="3" t="s">
        <v>20</v>
      </c>
      <c r="D9" s="3">
        <v>5</v>
      </c>
      <c r="E9" s="4">
        <v>35000</v>
      </c>
      <c r="F9" s="4">
        <v>175000</v>
      </c>
      <c r="G9" s="4">
        <f>IF(D9&gt;20,F9*0.2,0)</f>
        <v>0</v>
      </c>
      <c r="H9" s="4">
        <f>F9-G9</f>
        <v>175000</v>
      </c>
    </row>
    <row r="10" spans="1:8" x14ac:dyDescent="0.25">
      <c r="A10" s="5">
        <v>11288</v>
      </c>
      <c r="B10" s="3" t="s">
        <v>21</v>
      </c>
      <c r="C10" s="3" t="s">
        <v>22</v>
      </c>
      <c r="D10" s="3">
        <v>80</v>
      </c>
      <c r="E10" s="4">
        <v>30000</v>
      </c>
      <c r="F10" s="4">
        <v>2400000</v>
      </c>
      <c r="G10" s="4">
        <f>IF(D10&gt;20,F10*0.2,0)</f>
        <v>480000</v>
      </c>
      <c r="H10" s="4">
        <f>F10-G10</f>
        <v>1920000</v>
      </c>
    </row>
    <row r="11" spans="1:8" x14ac:dyDescent="0.25">
      <c r="A11" s="5">
        <v>11289</v>
      </c>
      <c r="B11" s="3" t="s">
        <v>23</v>
      </c>
      <c r="C11" s="3" t="s">
        <v>24</v>
      </c>
      <c r="D11" s="3">
        <v>100</v>
      </c>
      <c r="E11" s="4">
        <v>26000</v>
      </c>
      <c r="F11" s="4">
        <v>2600000</v>
      </c>
      <c r="G11" s="4">
        <f>IF(D11&gt;20,F11*0.2,0)</f>
        <v>520000</v>
      </c>
      <c r="H11" s="4">
        <f>F11-G11</f>
        <v>2080000</v>
      </c>
    </row>
    <row r="12" spans="1:8" x14ac:dyDescent="0.25">
      <c r="A12" s="5">
        <v>11290</v>
      </c>
      <c r="B12" s="3" t="s">
        <v>25</v>
      </c>
      <c r="C12" s="3" t="s">
        <v>26</v>
      </c>
      <c r="D12" s="3">
        <v>20</v>
      </c>
      <c r="E12" s="4">
        <v>35000</v>
      </c>
      <c r="F12" s="4">
        <v>700000</v>
      </c>
      <c r="G12" s="4">
        <f>IF(D12&gt;20,F12*0.2,0)</f>
        <v>0</v>
      </c>
      <c r="H12" s="4">
        <f>F12-G12</f>
        <v>700000</v>
      </c>
    </row>
    <row r="13" spans="1:8" x14ac:dyDescent="0.25">
      <c r="A13" s="5">
        <v>11291</v>
      </c>
      <c r="B13" s="3" t="s">
        <v>27</v>
      </c>
      <c r="C13" s="3" t="s">
        <v>28</v>
      </c>
      <c r="D13" s="3">
        <v>25</v>
      </c>
      <c r="E13" s="4">
        <v>40000</v>
      </c>
      <c r="F13" s="4">
        <v>1000000</v>
      </c>
      <c r="G13" s="4">
        <f>IF(D13&gt;20,F13*0.2,0)</f>
        <v>200000</v>
      </c>
      <c r="H13" s="4">
        <f>F13-G13</f>
        <v>800000</v>
      </c>
    </row>
    <row r="14" spans="1:8" x14ac:dyDescent="0.25">
      <c r="A14" s="5">
        <v>11292</v>
      </c>
      <c r="B14" s="3" t="s">
        <v>29</v>
      </c>
      <c r="C14" s="3" t="s">
        <v>30</v>
      </c>
      <c r="D14" s="3">
        <v>10</v>
      </c>
      <c r="E14" s="4">
        <v>28000</v>
      </c>
      <c r="F14" s="4">
        <v>280000</v>
      </c>
      <c r="G14" s="4">
        <f>IF(D14&gt;20,F14*0.2,0)</f>
        <v>0</v>
      </c>
      <c r="H14" s="4">
        <f>F14-G14</f>
        <v>280000</v>
      </c>
    </row>
    <row r="15" spans="1:8" x14ac:dyDescent="0.25">
      <c r="A15" s="5">
        <v>11293</v>
      </c>
      <c r="B15" s="3" t="s">
        <v>31</v>
      </c>
      <c r="C15" s="3" t="s">
        <v>32</v>
      </c>
      <c r="D15" s="3">
        <v>10</v>
      </c>
      <c r="E15" s="4">
        <v>30000</v>
      </c>
      <c r="F15" s="4">
        <v>300000</v>
      </c>
      <c r="G15" s="4">
        <f>IF(D15&gt;20,F15*0.2,0)</f>
        <v>0</v>
      </c>
      <c r="H15" s="4">
        <f>F15-G15</f>
        <v>300000</v>
      </c>
    </row>
    <row r="16" spans="1:8" x14ac:dyDescent="0.25">
      <c r="A16" s="5">
        <v>11294</v>
      </c>
      <c r="B16" s="3" t="s">
        <v>33</v>
      </c>
      <c r="C16" s="3" t="s">
        <v>34</v>
      </c>
      <c r="D16" s="3">
        <v>5</v>
      </c>
      <c r="E16" s="4">
        <v>30000</v>
      </c>
      <c r="F16" s="4">
        <v>150000</v>
      </c>
      <c r="G16" s="4">
        <f>IF(D16&gt;20,F16*0.2,0)</f>
        <v>0</v>
      </c>
      <c r="H16" s="4">
        <f>F16-G16</f>
        <v>150000</v>
      </c>
    </row>
    <row r="17" spans="1:8" x14ac:dyDescent="0.25">
      <c r="A17" s="5">
        <v>11295</v>
      </c>
      <c r="B17" s="3" t="s">
        <v>35</v>
      </c>
      <c r="C17" s="3" t="s">
        <v>36</v>
      </c>
      <c r="D17" s="3">
        <v>180</v>
      </c>
      <c r="E17" s="4">
        <v>26000</v>
      </c>
      <c r="F17" s="4">
        <v>4680000</v>
      </c>
      <c r="G17" s="4">
        <f>IF(D17&gt;20,F17*0.2,0)</f>
        <v>936000</v>
      </c>
      <c r="H17" s="4">
        <f>F17-G17</f>
        <v>3744000</v>
      </c>
    </row>
    <row r="18" spans="1:8" x14ac:dyDescent="0.25">
      <c r="A18" s="5">
        <v>11296</v>
      </c>
      <c r="B18" s="3" t="s">
        <v>37</v>
      </c>
      <c r="C18" s="3" t="s">
        <v>18</v>
      </c>
      <c r="D18" s="3">
        <v>5</v>
      </c>
      <c r="E18" s="4">
        <v>30000</v>
      </c>
      <c r="F18" s="4">
        <v>150000</v>
      </c>
      <c r="G18" s="4">
        <f>IF(D18&gt;20,F18*0.2,0)</f>
        <v>0</v>
      </c>
      <c r="H18" s="4">
        <f>F18-G18</f>
        <v>150000</v>
      </c>
    </row>
    <row r="19" spans="1:8" x14ac:dyDescent="0.25">
      <c r="A19" s="5">
        <v>11297</v>
      </c>
      <c r="B19" s="3" t="s">
        <v>38</v>
      </c>
      <c r="C19" s="3" t="s">
        <v>20</v>
      </c>
      <c r="D19" s="3">
        <v>250</v>
      </c>
      <c r="E19" s="4">
        <v>35000</v>
      </c>
      <c r="F19" s="4">
        <v>8750000</v>
      </c>
      <c r="G19" s="4">
        <f>IF(D19&gt;20,F19*0.2,0)</f>
        <v>1750000</v>
      </c>
      <c r="H19" s="4">
        <f>F19-G19</f>
        <v>7000000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Divyraj Parmar</cp:lastModifiedBy>
  <dcterms:created xsi:type="dcterms:W3CDTF">2024-05-16T07:15:40Z</dcterms:created>
  <dcterms:modified xsi:type="dcterms:W3CDTF">2025-03-20T05:00:41Z</dcterms:modified>
</cp:coreProperties>
</file>